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demyLearning\DataAnalystRepo\EXCEL\"/>
    </mc:Choice>
  </mc:AlternateContent>
  <xr:revisionPtr revIDLastSave="0" documentId="8_{3FEAA57D-910B-4B1B-95C1-283D30ADF8F3}" xr6:coauthVersionLast="47" xr6:coauthVersionMax="47" xr10:uidLastSave="{00000000-0000-0000-0000-000000000000}"/>
  <bookViews>
    <workbookView xWindow="-120" yWindow="-120" windowWidth="29040" windowHeight="15990" firstSheet="1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J2" i="7" a="1"/>
  <c r="J2" i="7" s="1"/>
  <c r="L2" i="7" a="1"/>
  <c r="L2" i="7" s="1"/>
  <c r="K3" i="1"/>
  <c r="K4" i="1"/>
  <c r="K5" i="1"/>
  <c r="K6" i="1"/>
  <c r="K7" i="1"/>
  <c r="K8" i="1"/>
  <c r="K9" i="1"/>
  <c r="K10" i="1"/>
  <c r="K2" i="1"/>
  <c r="J2" i="1" a="1"/>
  <c r="J2" i="1" s="1"/>
  <c r="J2" i="6" a="1"/>
  <c r="J2" i="6" s="1"/>
  <c r="M3" i="3" a="1"/>
  <c r="M3" i="3" s="1"/>
  <c r="L2" i="3" a="1"/>
  <c r="L2" i="3" s="1"/>
  <c r="J2" i="3" a="1"/>
  <c r="J2" i="3" s="1"/>
  <c r="L2" i="4" a="1"/>
  <c r="L2" i="4" s="1"/>
  <c r="K2" i="4" a="1"/>
  <c r="K2" i="4" s="1"/>
  <c r="K2" i="2" a="1"/>
  <c r="K2" i="2" s="1"/>
  <c r="J2" i="2" a="1"/>
  <c r="J2" i="2" s="1"/>
  <c r="K2" i="8" a="1"/>
  <c r="K2" i="8" s="1"/>
  <c r="J2" i="8" a="1"/>
  <c r="J2" i="8" s="1"/>
  <c r="J3" i="9"/>
  <c r="J4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<sst xmlns="http://schemas.openxmlformats.org/spreadsheetml/2006/main" count="583" uniqueCount="88">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</sst>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J4" sqref="J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3">
        <f>MAX(D2:D10)</f>
        <v>38</v>
      </c>
      <c r="K2" s="3">
        <f>MIN(G2:G10)</f>
        <v>36000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MAX(A2:A10)</f>
        <v>1009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s="1">
        <f>MAX(H2:H10)</f>
        <v>37933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IF(G2:G10 &gt; 50000, "RICH", "POOR")</f>
        <v>POOR</v>
      </c>
      <c r="K2" cm="1">
        <f t="array" ref="K2:K10">_xlfn.IFS(E2:E10 = "Male", 1, E2:E10 = "Female", 2)</f>
        <v>1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POOR</v>
      </c>
      <c r="K3">
        <v>2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RICH</v>
      </c>
      <c r="K4">
        <v>1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POOR</v>
      </c>
      <c r="K5">
        <v>2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POOR</v>
      </c>
      <c r="K6">
        <v>1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RICH</v>
      </c>
      <c r="K7">
        <v>1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POOR</v>
      </c>
      <c r="K8">
        <v>2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POOR</v>
      </c>
      <c r="K9">
        <v>1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POOR</v>
      </c>
      <c r="K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D2" sqref="D2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LEN(B2:B10)</f>
        <v>3</v>
      </c>
      <c r="K2" cm="1">
        <f t="array" ref="K2:K10">LEN(E2:E10) + 1</f>
        <v>5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3</v>
      </c>
      <c r="K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6</v>
      </c>
      <c r="K4">
        <v>5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  <c r="K5">
        <v>7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4</v>
      </c>
      <c r="K6">
        <v>5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7</v>
      </c>
      <c r="K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8</v>
      </c>
      <c r="K8">
        <v>7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7</v>
      </c>
      <c r="K9">
        <v>5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5</v>
      </c>
      <c r="K1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I4" sqref="I4"/>
    </sheetView>
  </sheetViews>
  <sheetFormatPr defaultColWidth="14.5703125" defaultRowHeight="15" x14ac:dyDescent="0.25"/>
  <cols>
    <col min="4" max="4" width="8" customWidth="1"/>
    <col min="10" max="10" width="32.28515625" bestFit="1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 3)</f>
        <v>Jim</v>
      </c>
      <c r="L2" t="str" cm="1">
        <f t="array" ref="L2:L10">RIGHT(H2:H10, 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workbookViewId="0">
      <selection activeCell="M6" sqref="M6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 "dd/mm/yyyy")</f>
        <v>02/11/2001</v>
      </c>
      <c r="K2" s="2"/>
      <c r="L2" t="str" cm="1">
        <f t="array" ref="L2:L10">RIGHT(_xlfn.ANCHORARRAY(J2), 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tr">
        <v>1999</v>
      </c>
      <c r="M3" t="str" cm="1">
        <f t="array" ref="M3:M11">TEXT(K3:K11, "dd/mm/yyyy")</f>
        <v>00/01/1900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2000</v>
      </c>
      <c r="M4" t="str">
        <v>00/01/1900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2000</v>
      </c>
      <c r="M5" t="str">
        <v>00/01/1900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2001</v>
      </c>
      <c r="M6" t="str">
        <v>00/01/1900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1995</v>
      </c>
      <c r="M7" t="str">
        <v>00/01/1900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2003</v>
      </c>
      <c r="M8" t="str">
        <v>00/01/1900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2002</v>
      </c>
      <c r="M9" t="str">
        <v>00/01/1900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tr">
        <v>2003</v>
      </c>
      <c r="M10" t="str">
        <v>00/01/1900</v>
      </c>
    </row>
    <row r="11" spans="1:13" x14ac:dyDescent="0.25">
      <c r="M11" t="str">
        <v>00/01/1900</v>
      </c>
    </row>
    <row r="12" spans="1:13" x14ac:dyDescent="0.25">
      <c r="H12" s="1"/>
    </row>
    <row r="13" spans="1:13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 "/", "-", 2)</f>
        <v>11/2-2001</v>
      </c>
      <c r="L2" t="str" cm="1">
        <f t="array" ref="L2:L10">SUBSTITUTE(H2:H10, "/", 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10/3-1999</v>
      </c>
      <c r="L3" t="str"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7/4-2000</v>
      </c>
      <c r="L4" t="str"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1/5-2000</v>
      </c>
      <c r="L5" t="str"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5/6-2001</v>
      </c>
      <c r="L6" t="str"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5/6-2001</v>
      </c>
      <c r="L7" t="str"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11/8-2003</v>
      </c>
      <c r="L8" t="str"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6/9-2002</v>
      </c>
      <c r="L9" t="str"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8/10-2003</v>
      </c>
      <c r="L10" t="str">
        <v>8-10-2003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2" sqref="L2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 "&gt; 50000")</f>
        <v>128000</v>
      </c>
      <c r="L2">
        <f>SUMIFS(G2:G10, E2:E10, "Female", D2:D10, 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 "&gt;36000")</f>
        <v>8</v>
      </c>
      <c r="L2">
        <f>COUNTIFS(G2:G10, "&gt;45000", E2:E10, "Male")</f>
        <v>4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M14" sqref="M14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1" max="11" width="27.425781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CONCATENATE(B2:B10, " ",C2:C10)</f>
        <v>Jim Halpert</v>
      </c>
      <c r="K2" t="str">
        <f>CONCATENATE(B2, ".", C2, "@yahoo.com")</f>
        <v>Jim.Halpert@yahoo.com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Pam Beasley</v>
      </c>
      <c r="K3" t="str">
        <f t="shared" ref="K3:K10" si="0">CONCATENATE(B3, ".", C3, "@yahoo.com")</f>
        <v>Pam.Beasley@yahoo.com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Dwight Schrute</v>
      </c>
      <c r="K4" t="str">
        <f t="shared" si="0"/>
        <v>Dwight.Schrute@yahoo.com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Angela Martin</v>
      </c>
      <c r="K5" t="str">
        <f t="shared" si="0"/>
        <v>Angela.Martin@yahoo.com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Toby Flenderson</v>
      </c>
      <c r="K6" t="str">
        <f t="shared" si="0"/>
        <v>Toby.Flenderson@yahoo.com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Michael Scott</v>
      </c>
      <c r="K7" t="str">
        <f t="shared" si="0"/>
        <v>Michael.Scott@yahoo.com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Meredith Palmer</v>
      </c>
      <c r="K8" t="str">
        <f t="shared" si="0"/>
        <v>Meredith.Palmer@yahoo.com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Stanley Hudson</v>
      </c>
      <c r="K9" t="str">
        <f t="shared" si="0"/>
        <v>Stanley.Hudson@yahoo.com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Kevin Malone</v>
      </c>
      <c r="K10" t="str">
        <f t="shared" si="0"/>
        <v>Kevin.Malone@yahoo.com</v>
      </c>
    </row>
    <row r="11" spans="1:11" x14ac:dyDescent="0.25">
      <c r="H11" t="str">
        <f t="shared" ref="H11:H12" si="1">CONCATENATE(B11," ",C11)</f>
        <v xml:space="preserve"> </v>
      </c>
    </row>
    <row r="12" spans="1:11" x14ac:dyDescent="0.25">
      <c r="H12" t="str">
        <f t="shared" si="1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K2" sqref="K2:K10"/>
    </sheetView>
  </sheetViews>
  <sheetFormatPr defaultRowHeight="15" x14ac:dyDescent="0.25"/>
  <cols>
    <col min="8" max="8" width="14.42578125" customWidth="1"/>
    <col min="9" max="9" width="13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 xml:space="preserve"> _xlfn.DAYS(I2,H2)</f>
        <v>5056</v>
      </c>
      <c r="K2">
        <f>NETWORKDAYS(H2,I2)</f>
        <v>3611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 xml:space="preserve"> _xlfn.DAYS(I3,H3)</f>
        <v>5851</v>
      </c>
      <c r="K3">
        <f t="shared" ref="K3:K10" si="1">NETWORKDAYS(H3,I3)</f>
        <v>4180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razvan batin</cp:lastModifiedBy>
  <dcterms:created xsi:type="dcterms:W3CDTF">2021-12-16T14:18:34Z</dcterms:created>
  <dcterms:modified xsi:type="dcterms:W3CDTF">2025-09-17T08:04:23Z</dcterms:modified>
</cp:coreProperties>
</file>